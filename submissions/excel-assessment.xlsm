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Recruitment\MapUP Solutions\MapUp-DA-Assessment-2024\submissions\"/>
    </mc:Choice>
  </mc:AlternateContent>
  <xr:revisionPtr revIDLastSave="0" documentId="13_ncr:1_{A6A5854D-E1B2-40BD-A594-0AB43CDC2AB3}" xr6:coauthVersionLast="47" xr6:coauthVersionMax="47" xr10:uidLastSave="{00000000-0000-0000-0000-000000000000}"/>
  <bookViews>
    <workbookView xWindow="-108" yWindow="-108" windowWidth="23256" windowHeight="12456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 a="1"/>
  <c r="C2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F16" i="16"/>
  <c r="E16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F6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AA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<sst xmlns="http://schemas.openxmlformats.org/spreadsheetml/2006/main" count="344" uniqueCount="197">
  <si>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</si>
  <si>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</si>
  <si>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</si>
  <si>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</si>
  <si>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</si>
  <si>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</si>
  <si>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</si>
  <si>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</si>
  <si>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</si>
  <si>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</si>
  <si>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</si>
  <si>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</si>
  <si>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</si>
  <si>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</si>
  <si>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</si>
  <si>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</si>
  <si>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</si>
  <si>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</si>
  <si>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</si>
  <si>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</si>
  <si>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</si>
  <si>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</si>
  <si>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</si>
  <si>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</si>
  <si>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</si>
  <si>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</si>
  <si>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</si>
  <si>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</si>
  <si>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</si>
  <si>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</si>
  <si>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</si>
  <si>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</si>
  <si>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</si>
  <si>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</si>
  <si>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</si>
  <si>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</si>
  <si>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</si>
  <si>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</si>
  <si>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</si>
  <si>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</si>
  <si>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</si>
  <si>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</si>
  <si>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</si>
  <si>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</si>
  <si>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</si>
  <si>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</si>
  <si>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</si>
  <si>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</si>
  <si>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</si>
  <si>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</si>
  <si>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</si>
  <si>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</si>
  <si>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</si>
  <si>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</si>
  <si>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</si>
  <si>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</si>
  <si>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</si>
  <si>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</si>
  <si>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</si>
  <si>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</si>
  <si>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</si>
  <si>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</si>
  <si>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</si>
  <si>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</si>
  <si>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</si>
  <si>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</si>
  <si>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</si>
  <si>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</si>
  <si>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</si>
  <si>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</si>
  <si>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</si>
  <si>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</si>
  <si>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</si>
  <si>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</si>
  <si>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</si>
  <si>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</si>
  <si>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</si>
  <si>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</si>
  <si>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</si>
  <si>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</si>
  <si>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</si>
  <si>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</si>
  <si>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</si>
  <si>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</si>
  <si>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</si>
  <si>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</si>
  <si>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</si>
  <si>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</si>
  <si>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</si>
  <si>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</si>
  <si>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</si>
  <si>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</si>
  <si>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</si>
  <si>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</si>
  <si>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</si>
  <si>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</si>
  <si>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</si>
  <si>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</si>
  <si>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</si>
  <si>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</si>
  <si>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</si>
  <si>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</si>
  <si>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</si>
  <si>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</si>
  <si>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</si>
  <si>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</si>
  <si>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</si>
  <si>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</si>
  <si>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</si>
  <si>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</si>
  <si>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</si>
  <si>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</si>
  <si>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</si>
  <si>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</si>
  <si>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</si>
  <si>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</si>
  <si>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</si>
  <si>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</si>
  <si>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</si>
  <si>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</si>
  <si>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</si>
  <si>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</si>
  <si>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</si>
  <si>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</si>
  <si>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</si>
  <si>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</si>
  <si>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</si>
  <si>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</si>
  <si>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</si>
  <si>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</si>
  <si>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</si>
  <si>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</si>
  <si>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</si>
  <si>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</si>
  <si>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</si>
  <si>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</si>
  <si>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</si>
  <si>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</si>
  <si>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</si>
  <si>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</si>
  <si>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</si>
  <si>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</si>
  <si>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</si>
  <si>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</si>
  <si>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</si>
  <si>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</si>
  <si>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</si>
  <si>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</si>
  <si>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</si>
  <si>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</si>
  <si>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</si>
  <si>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</si>
  <si>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</si>
  <si>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</si>
  <si>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</si>
  <si>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</si>
  <si>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</si>
  <si>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</si>
  <si>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</si>
  <si>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</si>
  <si>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</si>
  <si>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</si>
  <si>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</si>
  <si>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</si>
  <si>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</si>
  <si>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</si>
  <si>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</si>
  <si>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</si>
  <si>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</si>
  <si>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</si>
  <si>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</si>
  <si>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</si>
  <si>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</si>
  <si>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</si>
  <si>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</si>
  <si>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</si>
  <si>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</si>
  <si>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</t>
  </si>
  <si>
    <t>SUMIF(H2:H40,"&gt;20",H2:H40)</t>
  </si>
  <si>
    <t>Formula</t>
  </si>
  <si>
    <t>SUM(IFERROR(C12:C21,20))</t>
  </si>
  <si>
    <t>Step 1:</t>
  </si>
  <si>
    <t>Step 2:</t>
  </si>
  <si>
    <t>Step 3:</t>
  </si>
  <si>
    <t>A2:A100 is the range of cells in Table_A that contains the sales data (you can adjust the range based on your table).</t>
  </si>
  <si>
    <t>SUM then adds up all the values, including the ones where #N/A was replaced with 20.</t>
  </si>
  <si>
    <t>Steps</t>
  </si>
  <si>
    <t>Formula Used : INDEX($A$9:$J$18,VLOOKUP(A23,$M$10:$N$18,2,FALSE),VLOOKUP(B23,$M$10:$N$18,2,FALSE))</t>
  </si>
  <si>
    <t>INDEX($B$10:$J$18,MATCH(VLOOKUP(A23,$M$10:$N$18,2,FALSE),$A$10:$A$18,0),MATCH(VLOOKUP(B23,$M$10:$N$18,2,FALSE),$B$9:$J$9,0))</t>
  </si>
  <si>
    <t xml:space="preserve">Step 1: Use Match Formula to find the corresponding Row Number and Column Number </t>
  </si>
  <si>
    <t>Step 2 : Inside Match formul use VLOOKUP to find the corresponding value of name_1 and name_2 in Table_B</t>
  </si>
  <si>
    <t>Step 3: Index Fromula will return the value at corresponding row number and column number in the specified array.</t>
  </si>
  <si>
    <t>Step 1 : LEFT Formula is used to find out the value of col 1 which take the arguments as text and no of characters to retrive</t>
  </si>
  <si>
    <t>Note : There is one more inbuilt function that we can use Named TEXTSPLIT("text",delimeter) but in current version of Excel it's not working)</t>
  </si>
  <si>
    <t>Step 2 : MID Formula is used to retrive the col_3,col_4,col_5,col_6 which takes argument as starting position and no of chars.</t>
  </si>
  <si>
    <t>Step 3 : For col_6 RIGHT is udes which takes argument as text and no of chars</t>
  </si>
  <si>
    <t>IFERROR(Range,Value) checks if a cell contains an error (#N/A). If it does, it replaces the error with 20. If no error is present, it uses the actual value in the cell.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</si>
</sst>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7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8" fillId="6" borderId="1" xfId="0" applyFont="1" applyFill="1" applyBorder="1"/>
    <xf numFmtId="0" fontId="19" fillId="6" borderId="0" xfId="0" applyFont="1" applyFill="1"/>
    <xf numFmtId="0" fontId="3" fillId="0" borderId="12" xfId="0" applyFont="1" applyBorder="1"/>
    <xf numFmtId="0" fontId="8" fillId="0" borderId="12" xfId="0" applyFont="1" applyBorder="1"/>
    <xf numFmtId="0" fontId="19" fillId="6" borderId="1" xfId="0" applyFont="1" applyFill="1" applyBorder="1"/>
    <xf numFmtId="0" fontId="8" fillId="0" borderId="13" xfId="0" applyFont="1" applyBorder="1"/>
    <xf numFmtId="0" fontId="8" fillId="0" borderId="14" xfId="0" applyFont="1" applyBorder="1"/>
    <xf numFmtId="0" fontId="8" fillId="0" borderId="15" xfId="0" applyFont="1" applyBorder="1"/>
    <xf numFmtId="0" fontId="8" fillId="0" borderId="4" xfId="0" applyFont="1" applyBorder="1"/>
    <xf numFmtId="0" fontId="8" fillId="0" borderId="5" xfId="0" applyFont="1" applyBorder="1"/>
    <xf numFmtId="0" fontId="19" fillId="6" borderId="9" xfId="0" applyFont="1" applyFill="1" applyBorder="1"/>
    <xf numFmtId="0" fontId="8" fillId="0" borderId="8" xfId="0" applyFont="1" applyBorder="1"/>
    <xf numFmtId="0" fontId="18" fillId="6" borderId="0" xfId="0" applyFont="1" applyFill="1"/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2" xfId="0" applyFont="1" applyBorder="1"/>
    <xf numFmtId="0" fontId="3" fillId="0" borderId="0" xfId="0" applyFont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8" fillId="0" borderId="1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1" xfId="0" applyFont="1" applyBorder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5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40"/>
  <sheetViews>
    <sheetView zoomScaleNormal="100" workbookViewId="0">
      <pane ySplit="1" topLeftCell="A2" activePane="bottomLeft" state="frozen"/>
      <selection pane="bottomLeft" activeCell="S30" sqref="S3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7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105</v>
      </c>
    </row>
    <row r="2" spans="1:27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7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  <c r="Z3" s="47" t="s">
        <v>177</v>
      </c>
      <c r="AA3" s="16">
        <f>SUMIF(H2:H40,"&gt;20",H2:H40)</f>
        <v>1473.0000000000002</v>
      </c>
    </row>
    <row r="4" spans="1:27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7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7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7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7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7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7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7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7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7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7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7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7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</conditionalFormatting>
  <conditionalFormatting sqref="G2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3" sqref="B3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178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7" zoomScaleNormal="100" workbookViewId="0">
      <selection activeCell="G31" sqref="G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163</v>
      </c>
    </row>
    <row r="2" spans="1:7" s="40" customFormat="1" ht="21" x14ac:dyDescent="0.4">
      <c r="B2" s="40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161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_xlfn.XLOOKUP(Task_2!A6,Dataset!$A$2:$A$40,Dataset!$G$2:$G$40,"NA",0,1)</f>
        <v>2.7</v>
      </c>
      <c r="C6" s="11">
        <f>_xlfn.XLOOKUP(A6,Dataset!$A$2:$A$40,Dataset!$N$2:$N$40,"NA",0,1)</f>
        <v>7.6</v>
      </c>
      <c r="D6" s="11">
        <f>_xlfn.XLOOKUP(Task_2!A6,Dataset!$A$2:$A$40,Dataset!$R$2:$R$40,"NA",0,1)</f>
        <v>4.2</v>
      </c>
      <c r="E6" s="11">
        <f>_xlfn.XLOOKUP(A6,Dataset!$A$2:$A$40,Dataset!$T$2:$T$40,"NA",0,1)</f>
        <v>8.9</v>
      </c>
      <c r="F6" s="8">
        <f>_xlfn.XLOOKUP(A6,Dataset!$A$2:$A$40,Dataset!$V$2:$V$40,"NA",0,1)</f>
        <v>4.2</v>
      </c>
    </row>
    <row r="7" spans="1:7" ht="14.4" x14ac:dyDescent="0.3">
      <c r="A7" s="7" t="s">
        <v>4</v>
      </c>
      <c r="B7" s="11">
        <f>_xlfn.XLOOKUP(Task_2!A7,Dataset!$A$2:$A$40,Dataset!$G$2:$G$40,"NA",0,1)</f>
        <v>2.7</v>
      </c>
      <c r="C7" s="11">
        <f>_xlfn.XLOOKUP(A7,Dataset!$A$2:$A$40,Dataset!$N$2:$N$40,"NA",0,1)</f>
        <v>7.6</v>
      </c>
      <c r="D7" s="11">
        <f>_xlfn.XLOOKUP(Task_2!A7,Dataset!$A$2:$A$40,Dataset!$R$2:$R$40,"NA",0,1)</f>
        <v>4.2</v>
      </c>
      <c r="E7" s="11">
        <f>_xlfn.XLOOKUP(A7,Dataset!$A$2:$A$40,Dataset!$T$2:$T$40,"NA",0,1)</f>
        <v>8.9</v>
      </c>
      <c r="F7" s="8">
        <f>_xlfn.XLOOKUP(A7,Dataset!$A$2:$A$40,Dataset!$V$2:$V$40,"NA",0,1)</f>
        <v>4.2</v>
      </c>
    </row>
    <row r="8" spans="1:7" ht="14.4" x14ac:dyDescent="0.3">
      <c r="A8" s="7" t="s">
        <v>7</v>
      </c>
      <c r="B8" s="11">
        <f>_xlfn.XLOOKUP(Task_2!A8,Dataset!$A$2:$A$40,Dataset!$G$2:$G$40,"NA",0,1)</f>
        <v>3.6</v>
      </c>
      <c r="C8" s="11">
        <f>_xlfn.XLOOKUP(A8,Dataset!$A$2:$A$40,Dataset!$N$2:$N$40,"NA",0,1)</f>
        <v>11.1</v>
      </c>
      <c r="D8" s="11">
        <f>_xlfn.XLOOKUP(Task_2!A8,Dataset!$A$2:$A$40,Dataset!$R$2:$R$40,"NA",0,1)</f>
        <v>5.8</v>
      </c>
      <c r="E8" s="11">
        <f>_xlfn.XLOOKUP(A8,Dataset!$A$2:$A$40,Dataset!$T$2:$T$40,"NA",0,1)</f>
        <v>12.2</v>
      </c>
      <c r="F8" s="8">
        <f>_xlfn.XLOOKUP(A8,Dataset!$A$2:$A$40,Dataset!$V$2:$V$40,"NA",0,1)</f>
        <v>5.8</v>
      </c>
    </row>
    <row r="9" spans="1:7" ht="14.4" x14ac:dyDescent="0.3">
      <c r="A9" s="7" t="s">
        <v>8</v>
      </c>
      <c r="B9" s="11">
        <f>_xlfn.XLOOKUP(Task_2!A9,Dataset!$A$2:$A$40,Dataset!$G$2:$G$40,"NA",0,1)</f>
        <v>4.9000000000000004</v>
      </c>
      <c r="C9" s="11">
        <f>_xlfn.XLOOKUP(A9,Dataset!$A$2:$A$40,Dataset!$N$2:$N$40,"NA",0,1)</f>
        <v>13.3</v>
      </c>
      <c r="D9" s="11">
        <f>_xlfn.XLOOKUP(Task_2!A9,Dataset!$A$2:$A$40,Dataset!$R$2:$R$40,"NA",0,1)</f>
        <v>8.1</v>
      </c>
      <c r="E9" s="11">
        <f>_xlfn.XLOOKUP(A9,Dataset!$A$2:$A$40,Dataset!$T$2:$T$40,"NA",0,1)</f>
        <v>17</v>
      </c>
      <c r="F9" s="8">
        <f>_xlfn.XLOOKUP(A9,Dataset!$A$2:$A$40,Dataset!$V$2:$V$40,"NA",0,1)</f>
        <v>8.1</v>
      </c>
    </row>
    <row r="10" spans="1:7" ht="14.4" x14ac:dyDescent="0.3">
      <c r="A10" s="7" t="s">
        <v>11</v>
      </c>
      <c r="B10" s="11">
        <f>_xlfn.XLOOKUP(Task_2!A10,Dataset!$A$2:$A$40,Dataset!$G$2:$G$40,"NA",0,1)</f>
        <v>9.4</v>
      </c>
      <c r="C10" s="11">
        <f>_xlfn.XLOOKUP(A10,Dataset!$A$2:$A$40,Dataset!$N$2:$N$40,"NA",0,1)</f>
        <v>28.3</v>
      </c>
      <c r="D10" s="11">
        <f>_xlfn.XLOOKUP(Task_2!A10,Dataset!$A$2:$A$40,Dataset!$R$2:$R$40,"NA",0,1)</f>
        <v>16.100000000000001</v>
      </c>
      <c r="E10" s="11">
        <f>_xlfn.XLOOKUP(A10,Dataset!$A$2:$A$40,Dataset!$T$2:$T$40,"NA",0,1)</f>
        <v>32.799999999999997</v>
      </c>
      <c r="F10" s="8">
        <f>_xlfn.XLOOKUP(A10,Dataset!$A$2:$A$40,Dataset!$V$2:$V$40,"NA",0,1)</f>
        <v>16.100000000000001</v>
      </c>
    </row>
    <row r="11" spans="1:7" ht="14.4" x14ac:dyDescent="0.3">
      <c r="A11" s="7" t="s">
        <v>12</v>
      </c>
      <c r="B11" s="11">
        <f>_xlfn.XLOOKUP(Task_2!A11,Dataset!$A$2:$A$40,Dataset!$G$2:$G$40,"NA",0,1)</f>
        <v>11.6</v>
      </c>
      <c r="C11" s="11">
        <f>_xlfn.XLOOKUP(A11,Dataset!$A$2:$A$40,Dataset!$N$2:$N$40,"NA",0,1)</f>
        <v>35.200000000000003</v>
      </c>
      <c r="D11" s="11">
        <f>_xlfn.XLOOKUP(Task_2!A11,Dataset!$A$2:$A$40,Dataset!$R$2:$R$40,"NA",0,1)</f>
        <v>21.3</v>
      </c>
      <c r="E11" s="11">
        <f>_xlfn.XLOOKUP(A11,Dataset!$A$2:$A$40,Dataset!$T$2:$T$40,"NA",0,1)</f>
        <v>43</v>
      </c>
      <c r="F11" s="8">
        <f>_xlfn.XLOOKUP(A11,Dataset!$A$2:$A$40,Dataset!$V$2:$V$40,"NA",0,1)</f>
        <v>21.3</v>
      </c>
    </row>
    <row r="12" spans="1:7" ht="14.4" x14ac:dyDescent="0.3">
      <c r="A12" s="7" t="s">
        <v>14</v>
      </c>
      <c r="B12" s="11">
        <f>_xlfn.XLOOKUP(Task_2!A12,Dataset!$A$2:$A$40,Dataset!$G$2:$G$40,"NA",0,1)</f>
        <v>18.399999999999999</v>
      </c>
      <c r="C12" s="11">
        <f>_xlfn.XLOOKUP(A12,Dataset!$A$2:$A$40,Dataset!$N$2:$N$40,"NA",0,1)</f>
        <v>55.6</v>
      </c>
      <c r="D12" s="11">
        <f>_xlfn.XLOOKUP(Task_2!A12,Dataset!$A$2:$A$40,Dataset!$R$2:$R$40,"NA",0,1)</f>
        <v>33.799999999999997</v>
      </c>
      <c r="E12" s="11">
        <f>_xlfn.XLOOKUP(A12,Dataset!$A$2:$A$40,Dataset!$T$2:$T$40,"NA",0,1)</f>
        <v>67.900000000000006</v>
      </c>
      <c r="F12" s="8">
        <f>_xlfn.XLOOKUP(A12,Dataset!$A$2:$A$40,Dataset!$V$2:$V$40,"NA",0,1)</f>
        <v>33.799999999999997</v>
      </c>
    </row>
    <row r="13" spans="1:7" ht="14.4" x14ac:dyDescent="0.3">
      <c r="A13" s="7" t="s">
        <v>15</v>
      </c>
      <c r="B13" s="11">
        <f>_xlfn.XLOOKUP(Task_2!A13,Dataset!$A$2:$A$40,Dataset!$G$2:$G$40,"NA",0,1)</f>
        <v>0</v>
      </c>
      <c r="C13" s="11">
        <f>_xlfn.XLOOKUP(A13,Dataset!$A$2:$A$40,Dataset!$N$2:$N$40,"NA",0,1)</f>
        <v>0</v>
      </c>
      <c r="D13" s="11">
        <f>_xlfn.XLOOKUP(Task_2!A13,Dataset!$A$2:$A$40,Dataset!$R$2:$R$40,"NA",0,1)</f>
        <v>0</v>
      </c>
      <c r="E13" s="11">
        <f>_xlfn.XLOOKUP(A13,Dataset!$A$2:$A$40,Dataset!$T$2:$T$40,"NA",0,1)</f>
        <v>0</v>
      </c>
      <c r="F13" s="8">
        <f>_xlfn.XLOOKUP(A13,Dataset!$A$2:$A$40,Dataset!$V$2:$V$40,"NA",0,1)</f>
        <v>0</v>
      </c>
    </row>
    <row r="14" spans="1:7" ht="14.4" x14ac:dyDescent="0.3">
      <c r="A14" s="7" t="s">
        <v>16</v>
      </c>
      <c r="B14" s="11">
        <f>_xlfn.XLOOKUP(Task_2!A14,Dataset!$A$2:$A$40,Dataset!$G$2:$G$40,"NA",0,1)</f>
        <v>21.9</v>
      </c>
      <c r="C14" s="11">
        <f>_xlfn.XLOOKUP(A14,Dataset!$A$2:$A$40,Dataset!$N$2:$N$40,"NA",0,1)</f>
        <v>61.5</v>
      </c>
      <c r="D14" s="11">
        <f>_xlfn.XLOOKUP(Task_2!A14,Dataset!$A$2:$A$40,Dataset!$R$2:$R$40,"NA",0,1)</f>
        <v>40.1</v>
      </c>
      <c r="E14" s="11">
        <f>_xlfn.XLOOKUP(A14,Dataset!$A$2:$A$40,Dataset!$T$2:$T$40,"NA",0,1)</f>
        <v>76.599999999999994</v>
      </c>
      <c r="F14" s="8">
        <f>_xlfn.XLOOKUP(A14,Dataset!$A$2:$A$40,Dataset!$V$2:$V$40,"NA",0,1)</f>
        <v>40.1</v>
      </c>
    </row>
    <row r="15" spans="1:7" ht="14.4" x14ac:dyDescent="0.3">
      <c r="A15" s="7" t="s">
        <v>18</v>
      </c>
      <c r="B15" s="11">
        <f>_xlfn.XLOOKUP(Task_2!A15,Dataset!$A$2:$A$40,Dataset!$G$2:$G$40,"NA",0,1)</f>
        <v>26.8</v>
      </c>
      <c r="C15" s="11">
        <f>_xlfn.XLOOKUP(A15,Dataset!$A$2:$A$40,Dataset!$N$2:$N$40,"NA",0,1)</f>
        <v>79.599999999999994</v>
      </c>
      <c r="D15" s="11">
        <f>_xlfn.XLOOKUP(Task_2!A15,Dataset!$A$2:$A$40,Dataset!$R$2:$R$40,"NA",0,1)</f>
        <v>47.9</v>
      </c>
      <c r="E15" s="11">
        <f>_xlfn.XLOOKUP(A15,Dataset!$A$2:$A$40,Dataset!$T$2:$T$40,"NA",0,1)</f>
        <v>96.8</v>
      </c>
      <c r="F15" s="8">
        <f>_xlfn.XLOOKUP(A15,Dataset!$A$2:$A$40,Dataset!$V$2:$V$40,"NA",0,1)</f>
        <v>47.9</v>
      </c>
    </row>
    <row r="16" spans="1:7" ht="14.4" x14ac:dyDescent="0.3">
      <c r="A16" s="7" t="s">
        <v>20</v>
      </c>
      <c r="B16" s="11">
        <f>_xlfn.XLOOKUP(Task_2!A16,Dataset!$A$2:$A$40,Dataset!$G$2:$G$40,"NA",0,1)</f>
        <v>28.5</v>
      </c>
      <c r="C16" s="11">
        <f>_xlfn.XLOOKUP(A16,Dataset!$A$2:$A$40,Dataset!$N$2:$N$40,"NA",0,1)</f>
        <v>85.4</v>
      </c>
      <c r="D16" s="11">
        <f>_xlfn.XLOOKUP(Task_2!A16,Dataset!$A$2:$A$40,Dataset!$R$2:$R$40,"NA",0,1)</f>
        <v>52.3</v>
      </c>
      <c r="E16" s="11">
        <f>_xlfn.XLOOKUP(A16,Dataset!$A$2:$A$40,Dataset!$T$2:$T$40,"NA",0,1)</f>
        <v>106.1</v>
      </c>
      <c r="F16" s="8">
        <f>_xlfn.XLOOKUP(A16,Dataset!$A$2:$A$40,Dataset!$V$2:$V$40,"NA",0,1)</f>
        <v>52.3</v>
      </c>
    </row>
    <row r="17" spans="1:6" ht="14.4" x14ac:dyDescent="0.3">
      <c r="A17" s="7" t="s">
        <v>22</v>
      </c>
      <c r="B17" s="11">
        <f>_xlfn.XLOOKUP(Task_2!A17,Dataset!$A$2:$A$40,Dataset!$G$2:$G$40,"NA",0,1)</f>
        <v>30.7</v>
      </c>
      <c r="C17" s="11">
        <f>_xlfn.XLOOKUP(A17,Dataset!$A$2:$A$40,Dataset!$N$2:$N$40,"NA",0,1)</f>
        <v>92.1</v>
      </c>
      <c r="D17" s="11">
        <f>_xlfn.XLOOKUP(Task_2!A17,Dataset!$A$2:$A$40,Dataset!$R$2:$R$40,"NA",0,1)</f>
        <v>57</v>
      </c>
      <c r="E17" s="11">
        <f>_xlfn.XLOOKUP(A17,Dataset!$A$2:$A$40,Dataset!$T$2:$T$40,"NA",0,1)</f>
        <v>115.1</v>
      </c>
      <c r="F17" s="8">
        <f>_xlfn.XLOOKUP(A17,Dataset!$A$2:$A$40,Dataset!$V$2:$V$40,"NA",0,1)</f>
        <v>57</v>
      </c>
    </row>
    <row r="18" spans="1:6" ht="14.4" x14ac:dyDescent="0.3">
      <c r="A18" s="7" t="s">
        <v>23</v>
      </c>
      <c r="B18" s="11">
        <f>_xlfn.XLOOKUP(Task_2!A18,Dataset!$A$2:$A$40,Dataset!$G$2:$G$40,"NA",0,1)</f>
        <v>33.799999999999997</v>
      </c>
      <c r="C18" s="11">
        <f>_xlfn.XLOOKUP(A18,Dataset!$A$2:$A$40,Dataset!$N$2:$N$40,"NA",0,1)</f>
        <v>101.3</v>
      </c>
      <c r="D18" s="11">
        <f>_xlfn.XLOOKUP(Task_2!A18,Dataset!$A$2:$A$40,Dataset!$R$2:$R$40,"NA",0,1)</f>
        <v>61.4</v>
      </c>
      <c r="E18" s="11">
        <f>_xlfn.XLOOKUP(A18,Dataset!$A$2:$A$40,Dataset!$T$2:$T$40,"NA",0,1)</f>
        <v>124.4</v>
      </c>
      <c r="F18" s="8">
        <f>_xlfn.XLOOKUP(A18,Dataset!$A$2:$A$40,Dataset!$V$2:$V$40,"NA",0,1)</f>
        <v>61.4</v>
      </c>
    </row>
    <row r="19" spans="1:6" ht="14.4" x14ac:dyDescent="0.3">
      <c r="A19" s="7" t="s">
        <v>24</v>
      </c>
      <c r="B19" s="11">
        <f>_xlfn.XLOOKUP(Task_2!A19,Dataset!$A$2:$A$40,Dataset!$G$2:$G$40,"NA",0,1)</f>
        <v>34.700000000000003</v>
      </c>
      <c r="C19" s="11">
        <f>_xlfn.XLOOKUP(A19,Dataset!$A$2:$A$40,Dataset!$N$2:$N$40,"NA",0,1)</f>
        <v>106.1</v>
      </c>
      <c r="D19" s="11">
        <f>_xlfn.XLOOKUP(Task_2!A19,Dataset!$A$2:$A$40,Dataset!$R$2:$R$40,"NA",0,1)</f>
        <v>63.6</v>
      </c>
      <c r="E19" s="11">
        <f>_xlfn.XLOOKUP(A19,Dataset!$A$2:$A$40,Dataset!$T$2:$T$40,"NA",0,1)</f>
        <v>128.6</v>
      </c>
      <c r="F19" s="8">
        <f>_xlfn.XLOOKUP(A19,Dataset!$A$2:$A$40,Dataset!$V$2:$V$40,"NA",0,1)</f>
        <v>63.6</v>
      </c>
    </row>
    <row r="20" spans="1:6" ht="14.4" x14ac:dyDescent="0.3">
      <c r="A20" s="7" t="s">
        <v>28</v>
      </c>
      <c r="B20" s="11">
        <f>_xlfn.XLOOKUP(Task_2!A20,Dataset!$A$2:$A$40,Dataset!$G$2:$G$40,"NA",0,1)</f>
        <v>0</v>
      </c>
      <c r="C20" s="11">
        <f>_xlfn.XLOOKUP(A20,Dataset!$A$2:$A$40,Dataset!$N$2:$N$40,"NA",0,1)</f>
        <v>0</v>
      </c>
      <c r="D20" s="11">
        <f>_xlfn.XLOOKUP(Task_2!A20,Dataset!$A$2:$A$40,Dataset!$R$2:$R$40,"NA",0,1)</f>
        <v>0</v>
      </c>
      <c r="E20" s="11">
        <f>_xlfn.XLOOKUP(A20,Dataset!$A$2:$A$40,Dataset!$T$2:$T$40,"NA",0,1)</f>
        <v>0</v>
      </c>
      <c r="F20" s="8">
        <f>_xlfn.XLOOKUP(A20,Dataset!$A$2:$A$40,Dataset!$V$2:$V$40,"NA",0,1)</f>
        <v>0</v>
      </c>
    </row>
    <row r="21" spans="1:6" ht="14.4" x14ac:dyDescent="0.3">
      <c r="A21" s="7" t="s">
        <v>57</v>
      </c>
      <c r="B21" s="11">
        <f>_xlfn.XLOOKUP(Task_2!A21,Dataset!$A$2:$A$40,Dataset!$G$2:$G$40,"NA",0,1)</f>
        <v>41.3</v>
      </c>
      <c r="C21" s="11">
        <f>_xlfn.XLOOKUP(A21,Dataset!$A$2:$A$40,Dataset!$N$2:$N$40,"NA",0,1)</f>
        <v>124.4</v>
      </c>
      <c r="D21" s="11">
        <f>_xlfn.XLOOKUP(Task_2!A21,Dataset!$A$2:$A$40,Dataset!$R$2:$R$40,"NA",0,1)</f>
        <v>75</v>
      </c>
      <c r="E21" s="11">
        <f>_xlfn.XLOOKUP(A21,Dataset!$A$2:$A$40,Dataset!$T$2:$T$40,"NA",0,1)</f>
        <v>151.5</v>
      </c>
      <c r="F21" s="8">
        <f>_xlfn.XLOOKUP(A21,Dataset!$A$2:$A$40,Dataset!$V$2:$V$40,"NA",0,1)</f>
        <v>75</v>
      </c>
    </row>
    <row r="22" spans="1:6" ht="14.4" x14ac:dyDescent="0.3">
      <c r="A22" s="7" t="s">
        <v>58</v>
      </c>
      <c r="B22" s="11">
        <f>_xlfn.XLOOKUP(Task_2!A22,Dataset!$A$2:$A$40,Dataset!$G$2:$G$40,"NA",0,1)</f>
        <v>-1</v>
      </c>
      <c r="C22" s="11">
        <f>_xlfn.XLOOKUP(A22,Dataset!$A$2:$A$40,Dataset!$N$2:$N$40,"NA",0,1)</f>
        <v>-1</v>
      </c>
      <c r="D22" s="11">
        <f>_xlfn.XLOOKUP(Task_2!A22,Dataset!$A$2:$A$40,Dataset!$R$2:$R$40,"NA",0,1)</f>
        <v>-1</v>
      </c>
      <c r="E22" s="11">
        <f>_xlfn.XLOOKUP(A22,Dataset!$A$2:$A$40,Dataset!$T$2:$T$40,"NA",0,1)</f>
        <v>-1</v>
      </c>
      <c r="F22" s="8">
        <f>_xlfn.XLOOKUP(A22,Dataset!$A$2:$A$40,Dataset!$V$2:$V$40,"NA",0,1)</f>
        <v>-1</v>
      </c>
    </row>
    <row r="23" spans="1:6" ht="14.4" x14ac:dyDescent="0.3">
      <c r="A23" s="7" t="s">
        <v>31</v>
      </c>
      <c r="B23" s="11">
        <f>_xlfn.XLOOKUP(Task_2!A23,Dataset!$A$2:$A$40,Dataset!$G$2:$G$40,"NA",0,1)</f>
        <v>45</v>
      </c>
      <c r="C23" s="11">
        <f>_xlfn.XLOOKUP(A23,Dataset!$A$2:$A$40,Dataset!$N$2:$N$40,"NA",0,1)</f>
        <v>133.4</v>
      </c>
      <c r="D23" s="11">
        <f>_xlfn.XLOOKUP(Task_2!A23,Dataset!$A$2:$A$40,Dataset!$R$2:$R$40,"NA",0,1)</f>
        <v>79.400000000000006</v>
      </c>
      <c r="E23" s="11">
        <f>_xlfn.XLOOKUP(A23,Dataset!$A$2:$A$40,Dataset!$T$2:$T$40,"NA",0,1)</f>
        <v>160.9</v>
      </c>
      <c r="F23" s="8">
        <f>_xlfn.XLOOKUP(A23,Dataset!$A$2:$A$40,Dataset!$V$2:$V$40,"NA",0,1)</f>
        <v>79.400000000000006</v>
      </c>
    </row>
    <row r="24" spans="1:6" ht="14.4" x14ac:dyDescent="0.3">
      <c r="A24" s="7" t="s">
        <v>32</v>
      </c>
      <c r="B24" s="11">
        <f>_xlfn.XLOOKUP(Task_2!A24,Dataset!$A$2:$A$40,Dataset!$G$2:$G$40,"NA",0,1)</f>
        <v>-1</v>
      </c>
      <c r="C24" s="11">
        <f>_xlfn.XLOOKUP(A24,Dataset!$A$2:$A$40,Dataset!$N$2:$N$40,"NA",0,1)</f>
        <v>-1</v>
      </c>
      <c r="D24" s="11">
        <f>_xlfn.XLOOKUP(Task_2!A24,Dataset!$A$2:$A$40,Dataset!$R$2:$R$40,"NA",0,1)</f>
        <v>-1</v>
      </c>
      <c r="E24" s="11">
        <f>_xlfn.XLOOKUP(A24,Dataset!$A$2:$A$40,Dataset!$T$2:$T$40,"NA",0,1)</f>
        <v>-1</v>
      </c>
      <c r="F24" s="8">
        <f>_xlfn.XLOOKUP(A24,Dataset!$A$2:$A$40,Dataset!$V$2:$V$40,"NA",0,1)</f>
        <v>-1</v>
      </c>
    </row>
    <row r="25" spans="1:6" ht="14.4" x14ac:dyDescent="0.3">
      <c r="A25" s="7" t="s">
        <v>34</v>
      </c>
      <c r="B25" s="11">
        <f>_xlfn.XLOOKUP(Task_2!A25,Dataset!$A$2:$A$40,Dataset!$G$2:$G$40,"NA",0,1)</f>
        <v>43.3</v>
      </c>
      <c r="C25" s="11">
        <f>_xlfn.XLOOKUP(A25,Dataset!$A$2:$A$40,Dataset!$N$2:$N$40,"NA",0,1)</f>
        <v>128.6</v>
      </c>
      <c r="D25" s="11">
        <f>_xlfn.XLOOKUP(Task_2!A25,Dataset!$A$2:$A$40,Dataset!$R$2:$R$40,"NA",0,1)</f>
        <v>79.400000000000006</v>
      </c>
      <c r="E25" s="11">
        <f>_xlfn.XLOOKUP(A25,Dataset!$A$2:$A$40,Dataset!$T$2:$T$40,"NA",0,1)</f>
        <v>160.9</v>
      </c>
      <c r="F25" s="8">
        <f>_xlfn.XLOOKUP(A25,Dataset!$A$2:$A$40,Dataset!$V$2:$V$40,"NA",0,1)</f>
        <v>79.400000000000006</v>
      </c>
    </row>
    <row r="26" spans="1:6" ht="14.4" x14ac:dyDescent="0.3">
      <c r="A26" s="7" t="s">
        <v>37</v>
      </c>
      <c r="B26" s="11">
        <f>_xlfn.XLOOKUP(Task_2!A26,Dataset!$A$2:$A$40,Dataset!$G$2:$G$40,"NA",0,1)</f>
        <v>49.1</v>
      </c>
      <c r="C26" s="11">
        <f>_xlfn.XLOOKUP(A26,Dataset!$A$2:$A$40,Dataset!$N$2:$N$40,"NA",0,1)</f>
        <v>146.80000000000001</v>
      </c>
      <c r="D26" s="11">
        <f>_xlfn.XLOOKUP(Task_2!A26,Dataset!$A$2:$A$40,Dataset!$R$2:$R$40,"NA",0,1)</f>
        <v>90.9</v>
      </c>
      <c r="E26" s="11">
        <f>_xlfn.XLOOKUP(A26,Dataset!$A$2:$A$40,Dataset!$T$2:$T$40,"NA",0,1)</f>
        <v>183.5</v>
      </c>
      <c r="F26" s="8">
        <f>_xlfn.XLOOKUP(A26,Dataset!$A$2:$A$40,Dataset!$V$2:$V$40,"NA",0,1)</f>
        <v>90.9</v>
      </c>
    </row>
    <row r="27" spans="1:6" ht="14.4" x14ac:dyDescent="0.3">
      <c r="A27" s="7" t="s">
        <v>39</v>
      </c>
      <c r="B27" s="11">
        <f>_xlfn.XLOOKUP(Task_2!A27,Dataset!$A$2:$A$40,Dataset!$G$2:$G$40,"NA",0,1)</f>
        <v>51.8</v>
      </c>
      <c r="C27" s="11">
        <f>_xlfn.XLOOKUP(A27,Dataset!$A$2:$A$40,Dataset!$N$2:$N$40,"NA",0,1)</f>
        <v>156.4</v>
      </c>
      <c r="D27" s="11">
        <f>_xlfn.XLOOKUP(Task_2!A27,Dataset!$A$2:$A$40,Dataset!$R$2:$R$40,"NA",0,1)</f>
        <v>93.1</v>
      </c>
      <c r="E27" s="11">
        <f>_xlfn.XLOOKUP(A27,Dataset!$A$2:$A$40,Dataset!$T$2:$T$40,"NA",0,1)</f>
        <v>188.1</v>
      </c>
      <c r="F27" s="8">
        <f>_xlfn.XLOOKUP(A27,Dataset!$A$2:$A$40,Dataset!$V$2:$V$40,"NA",0,1)</f>
        <v>93.1</v>
      </c>
    </row>
    <row r="28" spans="1:6" ht="14.4" x14ac:dyDescent="0.3">
      <c r="A28" s="18" t="s">
        <v>82</v>
      </c>
      <c r="B28" s="30">
        <f>MIN(B$6:B$27)</f>
        <v>-1</v>
      </c>
      <c r="C28" s="30">
        <f>MIN(C$6:C$27)</f>
        <v>-1</v>
      </c>
      <c r="D28" s="30">
        <f t="shared" ref="D28:F28" si="0">MIN(D$6:D$27)</f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MAX(B$6:B$27)</f>
        <v>51.8</v>
      </c>
      <c r="C29" s="30">
        <f t="shared" ref="C29:F29" si="1">MAX(C$6:C$27)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ROUND(AVERAGE(B$6:B$27),2)</f>
        <v>20.83</v>
      </c>
      <c r="C30" s="30">
        <f t="shared" ref="C30:F30" si="2">ROUND(AVERAGE(C$6:C$27),2)</f>
        <v>62.38</v>
      </c>
      <c r="D30" s="30">
        <f t="shared" si="2"/>
        <v>37.799999999999997</v>
      </c>
      <c r="E30" s="30">
        <f t="shared" si="2"/>
        <v>76.42</v>
      </c>
      <c r="F30" s="30">
        <f t="shared" si="2"/>
        <v>37.799999999999997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S54"/>
  <sheetViews>
    <sheetView zoomScaleNormal="100" workbookViewId="0">
      <selection activeCell="H16" sqref="H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152</v>
      </c>
      <c r="B6" s="39"/>
    </row>
    <row r="7" spans="1:10" ht="18" x14ac:dyDescent="0.35">
      <c r="A7" s="42"/>
      <c r="B7" s="39"/>
    </row>
    <row r="9" spans="1:10" ht="23.4" x14ac:dyDescent="0.45">
      <c r="A9" s="17" t="s">
        <v>164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161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120</v>
      </c>
      <c r="B16" s="11" t="str">
        <f>LEFT(A16,5)</f>
        <v>20000</v>
      </c>
      <c r="C16" s="1" t="str">
        <f>MID(A16,7,6)</f>
        <v>Monday</v>
      </c>
      <c r="D16" s="11" t="str">
        <f>MID(A16,14,1)</f>
        <v>0</v>
      </c>
      <c r="E16" s="1" t="str">
        <f>MID(A16,16,6)</f>
        <v>Sunday</v>
      </c>
      <c r="F16" s="11" t="str">
        <f>RIGHT(A16,2)</f>
        <v>24</v>
      </c>
      <c r="H16" s="59" t="s">
        <v>186</v>
      </c>
    </row>
    <row r="17" spans="1:19" x14ac:dyDescent="0.3">
      <c r="A17" s="7" t="s">
        <v>121</v>
      </c>
      <c r="B17" s="11" t="str">
        <f t="shared" ref="B17:B54" si="0">LEFT(A17,5)</f>
        <v>20002</v>
      </c>
      <c r="C17" s="1" t="str">
        <f t="shared" ref="C17:C54" si="1">MID(A17,7,6)</f>
        <v>Monday</v>
      </c>
      <c r="D17" s="11" t="str">
        <f t="shared" ref="D17:D54" si="2">MID(A17,14,1)</f>
        <v>0</v>
      </c>
      <c r="E17" s="1" t="str">
        <f t="shared" ref="E17:E54" si="3">MID(A17,16,6)</f>
        <v>Sunday</v>
      </c>
      <c r="F17" s="11" t="str">
        <f t="shared" ref="F17:F54" si="4">RIGHT(A17,2)</f>
        <v>24</v>
      </c>
      <c r="H17" s="60" t="s">
        <v>192</v>
      </c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2"/>
    </row>
    <row r="18" spans="1:19" x14ac:dyDescent="0.3">
      <c r="A18" s="7" t="s">
        <v>122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  <c r="H18" s="63" t="s">
        <v>194</v>
      </c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5"/>
    </row>
    <row r="19" spans="1:19" x14ac:dyDescent="0.3">
      <c r="A19" s="7" t="s">
        <v>123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  <c r="H19" s="63" t="s">
        <v>195</v>
      </c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5"/>
    </row>
    <row r="20" spans="1:19" x14ac:dyDescent="0.3">
      <c r="A20" s="7" t="s">
        <v>124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  <c r="H20" s="66" t="s">
        <v>193</v>
      </c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8"/>
    </row>
    <row r="21" spans="1:19" x14ac:dyDescent="0.3">
      <c r="A21" s="7" t="s">
        <v>125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19" x14ac:dyDescent="0.3">
      <c r="A22" s="7" t="s">
        <v>126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19" x14ac:dyDescent="0.3">
      <c r="A23" s="7" t="s">
        <v>127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19" x14ac:dyDescent="0.3">
      <c r="A24" s="7" t="s">
        <v>128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19" x14ac:dyDescent="0.3">
      <c r="A25" s="7" t="s">
        <v>129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19" x14ac:dyDescent="0.3">
      <c r="A26" s="7" t="s">
        <v>130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19" x14ac:dyDescent="0.3">
      <c r="A27" s="7" t="s">
        <v>131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19" x14ac:dyDescent="0.3">
      <c r="A28" s="7" t="s">
        <v>132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19" x14ac:dyDescent="0.3">
      <c r="A29" s="7" t="s">
        <v>133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19" x14ac:dyDescent="0.3">
      <c r="A30" s="7" t="s">
        <v>134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19" x14ac:dyDescent="0.3">
      <c r="A31" s="7" t="s">
        <v>135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19" x14ac:dyDescent="0.3">
      <c r="A32" s="7" t="s">
        <v>136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137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138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139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140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141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142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143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144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145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146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147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148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149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111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112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113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114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115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116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117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118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119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mergeCells count="4">
    <mergeCell ref="H17:S17"/>
    <mergeCell ref="H18:S18"/>
    <mergeCell ref="H19:S19"/>
    <mergeCell ref="H20:S20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O23"/>
  <sheetViews>
    <sheetView tabSelected="1" zoomScaleNormal="100" workbookViewId="0">
      <selection activeCell="H20" sqref="H20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5" ht="21" x14ac:dyDescent="0.4">
      <c r="A1" s="41" t="s">
        <v>85</v>
      </c>
      <c r="B1" s="40" t="s">
        <v>166</v>
      </c>
    </row>
    <row r="2" spans="1:15" ht="18" x14ac:dyDescent="0.35">
      <c r="B2" s="39" t="s">
        <v>165</v>
      </c>
    </row>
    <row r="5" spans="1:15" ht="14.4" x14ac:dyDescent="0.3">
      <c r="B5" s="1" t="s">
        <v>150</v>
      </c>
    </row>
    <row r="6" spans="1:15" ht="14.4" x14ac:dyDescent="0.3">
      <c r="A6" s="3" t="s">
        <v>53</v>
      </c>
      <c r="B6" s="1"/>
    </row>
    <row r="7" spans="1:15" ht="14.4" x14ac:dyDescent="0.3">
      <c r="A7" s="3" t="s">
        <v>152</v>
      </c>
      <c r="B7" s="1"/>
    </row>
    <row r="10" spans="1:15" ht="23.4" x14ac:dyDescent="0.45">
      <c r="A10" s="17" t="s">
        <v>161</v>
      </c>
    </row>
    <row r="11" spans="1:15" ht="14.4" x14ac:dyDescent="0.3">
      <c r="A11" s="31" t="s">
        <v>86</v>
      </c>
      <c r="B11" s="16" t="s">
        <v>87</v>
      </c>
      <c r="C11" s="16" t="s">
        <v>88</v>
      </c>
      <c r="E11" s="48" t="s">
        <v>186</v>
      </c>
    </row>
    <row r="12" spans="1:15" ht="14.4" x14ac:dyDescent="0.3">
      <c r="A12" s="31">
        <v>44927</v>
      </c>
      <c r="B12" s="16" t="s">
        <v>59</v>
      </c>
      <c r="C12" s="16">
        <v>200</v>
      </c>
      <c r="E12" s="52" t="s">
        <v>181</v>
      </c>
      <c r="F12" s="53" t="s">
        <v>184</v>
      </c>
      <c r="G12" s="53"/>
      <c r="H12" s="53"/>
      <c r="I12" s="53"/>
      <c r="J12" s="53"/>
      <c r="K12" s="53"/>
      <c r="L12" s="53"/>
      <c r="M12" s="53"/>
      <c r="N12" s="53"/>
      <c r="O12" s="54"/>
    </row>
    <row r="13" spans="1:15" ht="14.4" x14ac:dyDescent="0.3">
      <c r="A13" s="31">
        <v>44928</v>
      </c>
      <c r="B13" s="16" t="s">
        <v>60</v>
      </c>
      <c r="C13" s="16" t="e">
        <v>#N/A</v>
      </c>
      <c r="E13" s="34" t="s">
        <v>182</v>
      </c>
      <c r="F13" s="2" t="s">
        <v>196</v>
      </c>
      <c r="O13" s="43"/>
    </row>
    <row r="14" spans="1:15" ht="14.4" x14ac:dyDescent="0.3">
      <c r="A14" s="31">
        <v>44929</v>
      </c>
      <c r="B14" s="16" t="s">
        <v>61</v>
      </c>
      <c r="C14" s="16">
        <v>50</v>
      </c>
      <c r="E14" s="55" t="s">
        <v>183</v>
      </c>
      <c r="F14" s="56" t="s">
        <v>185</v>
      </c>
      <c r="G14" s="56"/>
      <c r="H14" s="56"/>
      <c r="I14" s="56"/>
      <c r="J14" s="56"/>
      <c r="K14" s="56"/>
      <c r="L14" s="56"/>
      <c r="M14" s="56"/>
      <c r="N14" s="56"/>
      <c r="O14" s="44"/>
    </row>
    <row r="15" spans="1:15" ht="14.4" x14ac:dyDescent="0.3">
      <c r="A15" s="31">
        <v>44930</v>
      </c>
      <c r="B15" s="16" t="s">
        <v>62</v>
      </c>
      <c r="C15" s="16" t="e">
        <v>#N/A</v>
      </c>
    </row>
    <row r="16" spans="1:15" ht="14.4" x14ac:dyDescent="0.3">
      <c r="A16" s="31">
        <v>44931</v>
      </c>
      <c r="B16" s="16" t="s">
        <v>63</v>
      </c>
      <c r="C16" s="16">
        <v>10</v>
      </c>
    </row>
    <row r="17" spans="1:4" ht="14.4" x14ac:dyDescent="0.3">
      <c r="A17" s="31">
        <v>44932</v>
      </c>
      <c r="B17" s="16" t="s">
        <v>153</v>
      </c>
      <c r="C17" s="16">
        <v>150</v>
      </c>
    </row>
    <row r="18" spans="1:4" ht="14.4" x14ac:dyDescent="0.3">
      <c r="A18" s="31">
        <v>44933</v>
      </c>
      <c r="B18" s="16" t="s">
        <v>154</v>
      </c>
      <c r="C18" s="16">
        <v>80</v>
      </c>
    </row>
    <row r="19" spans="1:4" ht="14.4" x14ac:dyDescent="0.3">
      <c r="A19" s="31">
        <v>44934</v>
      </c>
      <c r="B19" s="16" t="s">
        <v>155</v>
      </c>
      <c r="C19" s="16" t="e">
        <v>#N/A</v>
      </c>
    </row>
    <row r="20" spans="1:4" ht="14.4" x14ac:dyDescent="0.3">
      <c r="A20" s="31">
        <v>44935</v>
      </c>
      <c r="B20" s="16" t="s">
        <v>156</v>
      </c>
      <c r="C20" s="16">
        <v>30</v>
      </c>
    </row>
    <row r="21" spans="1:4" ht="14.4" x14ac:dyDescent="0.3">
      <c r="A21" s="31">
        <v>44936</v>
      </c>
      <c r="B21" s="16" t="s">
        <v>157</v>
      </c>
      <c r="C21" s="16" t="e">
        <v>#N/A</v>
      </c>
    </row>
    <row r="22" spans="1:4" ht="14.4" x14ac:dyDescent="0.3">
      <c r="B22" s="49" t="s">
        <v>158</v>
      </c>
      <c r="C22" s="50" cm="1">
        <f t="array" ref="C22">SUM(IFERROR(C12:C21,20))</f>
        <v>600</v>
      </c>
    </row>
    <row r="23" spans="1:4" x14ac:dyDescent="0.3">
      <c r="B23" s="51" t="s">
        <v>179</v>
      </c>
      <c r="C23" s="69" t="s">
        <v>180</v>
      </c>
      <c r="D23" s="69"/>
    </row>
  </sheetData>
  <mergeCells count="1">
    <mergeCell ref="C23:D2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P35"/>
  <sheetViews>
    <sheetView topLeftCell="A16" zoomScaleNormal="100" workbookViewId="0">
      <selection activeCell="G25" sqref="G25"/>
    </sheetView>
  </sheetViews>
  <sheetFormatPr defaultColWidth="11" defaultRowHeight="13.8" x14ac:dyDescent="0.3"/>
  <cols>
    <col min="1" max="1" width="28.21875" style="2" bestFit="1" customWidth="1"/>
    <col min="2" max="4" width="11" style="2"/>
    <col min="5" max="5" width="11.44140625" style="2" customWidth="1"/>
    <col min="6" max="16384" width="11" style="2"/>
  </cols>
  <sheetData>
    <row r="1" spans="1:14" ht="21" x14ac:dyDescent="0.4">
      <c r="A1" s="41" t="s">
        <v>98</v>
      </c>
      <c r="B1" s="40" t="s">
        <v>174</v>
      </c>
    </row>
    <row r="3" spans="1:14" ht="14.4" x14ac:dyDescent="0.3">
      <c r="B3" s="1" t="s">
        <v>150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152</v>
      </c>
      <c r="B5" s="1"/>
    </row>
    <row r="6" spans="1:14" ht="14.4" x14ac:dyDescent="0.3">
      <c r="A6" s="3"/>
      <c r="B6" s="1"/>
    </row>
    <row r="8" spans="1:14" ht="23.4" x14ac:dyDescent="0.45">
      <c r="A8" s="17" t="s">
        <v>161</v>
      </c>
      <c r="M8" s="17" t="s">
        <v>162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6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6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6" ht="23.4" x14ac:dyDescent="0.45">
      <c r="A21" s="17" t="s">
        <v>167</v>
      </c>
    </row>
    <row r="22" spans="1:16" ht="14.4" x14ac:dyDescent="0.3">
      <c r="A22" s="13" t="s">
        <v>100</v>
      </c>
      <c r="B22" s="16" t="s">
        <v>101</v>
      </c>
      <c r="C22" s="15" t="s">
        <v>102</v>
      </c>
    </row>
    <row r="23" spans="1:16" ht="14.4" x14ac:dyDescent="0.3">
      <c r="A23" s="7">
        <v>10100</v>
      </c>
      <c r="B23" s="11">
        <v>10102</v>
      </c>
      <c r="C23" s="43">
        <f>INDEX($B$10:$J$18,MATCH(VLOOKUP(A23,$M$10:$N$18,2,FALSE),$A$10:$A$18,0),MATCH(VLOOKUP(B23,$M$10:$N$18,2,FALSE),$B$9:$J$9,0))</f>
        <v>95</v>
      </c>
      <c r="E23" s="57" t="s">
        <v>187</v>
      </c>
      <c r="F23" s="70" t="s">
        <v>188</v>
      </c>
      <c r="G23" s="71"/>
      <c r="H23" s="71"/>
      <c r="I23" s="71"/>
      <c r="J23" s="71"/>
      <c r="K23" s="71"/>
      <c r="L23" s="71"/>
      <c r="M23" s="71"/>
      <c r="N23" s="71"/>
      <c r="O23" s="71"/>
      <c r="P23" s="72"/>
    </row>
    <row r="24" spans="1:16" ht="14.4" x14ac:dyDescent="0.3">
      <c r="A24" s="7">
        <v>10100</v>
      </c>
      <c r="B24" s="11">
        <v>10104</v>
      </c>
      <c r="C24" s="43">
        <f>INDEX($B$10:$J$18,MATCH(VLOOKUP(A24,$M$10:$N$18,2,FALSE),$A$10:$A$18,0),MATCH(VLOOKUP(B24,$M$10:$N$18,2,FALSE),$B$9:$J$9,0))</f>
        <v>-1</v>
      </c>
    </row>
    <row r="25" spans="1:16" ht="14.4" x14ac:dyDescent="0.3">
      <c r="A25" s="7">
        <v>10108</v>
      </c>
      <c r="B25" s="11">
        <v>10102</v>
      </c>
      <c r="C25" s="43">
        <f t="shared" ref="C25:C35" si="0">INDEX($B$10:$J$18,MATCH(VLOOKUP(A25,$M$10:$N$18,2,FALSE),$A$10:$A$18,0),MATCH(VLOOKUP(B25,$M$10:$N$18,2,FALSE),$B$9:$J$9,0))</f>
        <v>160</v>
      </c>
    </row>
    <row r="26" spans="1:16" ht="14.4" x14ac:dyDescent="0.3">
      <c r="A26" s="7">
        <v>10100</v>
      </c>
      <c r="B26" s="11">
        <v>10106</v>
      </c>
      <c r="C26" s="43">
        <f t="shared" si="0"/>
        <v>185</v>
      </c>
    </row>
    <row r="27" spans="1:16" ht="14.4" x14ac:dyDescent="0.3">
      <c r="A27" s="7">
        <v>10108</v>
      </c>
      <c r="B27" s="11">
        <v>10110</v>
      </c>
      <c r="C27" s="43">
        <f t="shared" si="0"/>
        <v>50</v>
      </c>
      <c r="E27" s="48" t="s">
        <v>186</v>
      </c>
    </row>
    <row r="28" spans="1:16" ht="14.4" x14ac:dyDescent="0.3">
      <c r="A28" s="7">
        <v>10102</v>
      </c>
      <c r="B28" s="11">
        <v>10104</v>
      </c>
      <c r="C28" s="43">
        <f t="shared" si="0"/>
        <v>-1</v>
      </c>
      <c r="E28" s="50" t="s">
        <v>189</v>
      </c>
      <c r="F28" s="53"/>
      <c r="G28" s="53"/>
      <c r="H28" s="53"/>
      <c r="I28" s="53"/>
      <c r="J28" s="53"/>
      <c r="K28" s="53"/>
      <c r="L28" s="53"/>
      <c r="M28" s="54"/>
    </row>
    <row r="29" spans="1:16" ht="14.4" x14ac:dyDescent="0.3">
      <c r="A29" s="7">
        <v>10106</v>
      </c>
      <c r="B29" s="11">
        <v>10108</v>
      </c>
      <c r="C29" s="43">
        <f t="shared" si="0"/>
        <v>70</v>
      </c>
      <c r="E29" s="36" t="s">
        <v>190</v>
      </c>
      <c r="M29" s="43"/>
    </row>
    <row r="30" spans="1:16" ht="14.4" x14ac:dyDescent="0.3">
      <c r="A30" s="7">
        <v>10102</v>
      </c>
      <c r="B30" s="11">
        <v>10106</v>
      </c>
      <c r="C30" s="43">
        <f t="shared" si="0"/>
        <v>90</v>
      </c>
      <c r="E30" s="58" t="s">
        <v>191</v>
      </c>
      <c r="F30" s="56"/>
      <c r="G30" s="56"/>
      <c r="H30" s="56"/>
      <c r="I30" s="56"/>
      <c r="J30" s="56"/>
      <c r="K30" s="56"/>
      <c r="L30" s="56"/>
      <c r="M30" s="44"/>
    </row>
    <row r="31" spans="1:16" ht="14.4" x14ac:dyDescent="0.3">
      <c r="A31" s="7">
        <v>10110</v>
      </c>
      <c r="B31" s="11">
        <v>10114</v>
      </c>
      <c r="C31" s="43">
        <f t="shared" si="0"/>
        <v>180</v>
      </c>
    </row>
    <row r="32" spans="1:16" ht="14.4" x14ac:dyDescent="0.3">
      <c r="A32" s="7">
        <v>10104</v>
      </c>
      <c r="B32" s="11">
        <v>10106</v>
      </c>
      <c r="C32" s="43">
        <f t="shared" si="0"/>
        <v>60</v>
      </c>
    </row>
    <row r="33" spans="1:3" ht="14.4" x14ac:dyDescent="0.3">
      <c r="A33" s="7">
        <v>10110</v>
      </c>
      <c r="B33" s="11">
        <v>10112</v>
      </c>
      <c r="C33" s="43">
        <f t="shared" si="0"/>
        <v>115</v>
      </c>
    </row>
    <row r="34" spans="1:3" ht="14.4" x14ac:dyDescent="0.3">
      <c r="A34" s="7">
        <v>10100</v>
      </c>
      <c r="B34" s="11">
        <v>10114</v>
      </c>
      <c r="C34" s="43">
        <f t="shared" si="0"/>
        <v>480</v>
      </c>
    </row>
    <row r="35" spans="1:3" ht="14.4" x14ac:dyDescent="0.3">
      <c r="A35" s="9">
        <v>10112</v>
      </c>
      <c r="B35" s="12">
        <v>10116</v>
      </c>
      <c r="C35" s="43">
        <f t="shared" si="0"/>
        <v>105</v>
      </c>
    </row>
  </sheetData>
  <mergeCells count="1">
    <mergeCell ref="F23:P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rajat nawale</cp:lastModifiedBy>
  <dcterms:created xsi:type="dcterms:W3CDTF">2015-02-10T17:33:11Z</dcterms:created>
  <dcterms:modified xsi:type="dcterms:W3CDTF">2024-10-23T19:03:28Z</dcterms:modified>
</cp:coreProperties>
</file>